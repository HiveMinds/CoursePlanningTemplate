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personal\Automation and Systems\Latex\CoursePlanningTemplate\"/>
    </mc:Choice>
  </mc:AlternateContent>
  <xr:revisionPtr revIDLastSave="0" documentId="13_ncr:1_{FEF6094E-EEF2-4869-BEBB-FF82F3B46E5F}" xr6:coauthVersionLast="44" xr6:coauthVersionMax="44" xr10:uidLastSave="{00000000-0000-0000-0000-000000000000}"/>
  <bookViews>
    <workbookView xWindow="-120" yWindow="-120" windowWidth="24240" windowHeight="13740" tabRatio="909" activeTab="1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<sst xmlns="http://schemas.openxmlformats.org/spreadsheetml/2006/main" count="195" uniqueCount="90">
  <si>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</si>
  <si>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</si>
  <si>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</si>
  <si>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</si>
  <si>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</si>
  <si>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</si>
  <si>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</si>
  <si>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</si>
  <si>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</si>
  <si>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</si>
  <si>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</si>
  <si>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</si>
  <si>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</si>
  <si>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</si>
  <si>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</si>
  <si>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</si>
  <si>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</si>
  <si>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</si>
  <si>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</si>
  <si>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</si>
  <si>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</si>
  <si>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</si>
  <si>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</si>
  <si>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</si>
  <si>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</si>
  <si>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</si>
  <si>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</si>
  <si>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</si>
  <si>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</si>
  <si>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</si>
  <si>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</si>
  <si>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</si>
  <si>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</si>
  <si>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</si>
  <si>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</si>
  <si>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</si>
  <si>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</si>
  <si>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</si>
  <si>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</si>
  <si>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</si>
  <si>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</si>
  <si>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Balistic spherical flight range  angle phi_0</t>
  </si>
  <si>
    <t>SampleExam</t>
  </si>
  <si>
    <t>re-entry</t>
  </si>
  <si>
    <t>Re-entry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</si>
  <si>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</si>
  <si>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</si>
  <si>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</si>
  <si>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</si>
  <si>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</si>
  <si>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</si>
  <si>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</si>
  <si>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</si>
  <si>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</si>
  <si>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</si>
  <si>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</si>
  <si>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</si>
  <si>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</si>
  <si>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</si>
  <si>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</si>
  <si>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</si>
  <si>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</si>
  <si>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</si>
  <si>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</si>
  <si>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</si>
  <si>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</si>
  <si>
    <t>Course name</t>
  </si>
  <si>
    <t>Taskwarrior project code:</t>
  </si>
  <si>
    <t>Course code</t>
  </si>
  <si>
    <t>uni.sse</t>
  </si>
  <si>
    <t>mass; construction mass; V_e;id</t>
  </si>
  <si>
    <t>Wind; constant thrust EOM vert. motion</t>
  </si>
  <si>
    <t>EOM vertical flight; mass;accel; multistage;V(Height)</t>
  </si>
  <si>
    <t>Design traject;throtle control law;energy gain</t>
  </si>
  <si>
    <t>Spherical; gamma_0;psi_0;derive</t>
  </si>
  <si>
    <t>Vertic Flight; V(height);</t>
  </si>
  <si>
    <t>Spherical;elipse Polar;alt;inclination</t>
  </si>
  <si>
    <t>Multi stage;Vend; limit case infinte nr of stages</t>
  </si>
  <si>
    <t>EOM; rail launch;flight path angle gamma_0</t>
  </si>
  <si>
    <t>EOM; orb period;Inertial launch params</t>
  </si>
  <si>
    <t>Multi stage; EOM vert flight;mass</t>
  </si>
  <si>
    <t>V(height);alts;Multistage</t>
  </si>
  <si>
    <t>Spherical;Flight range phi_0</t>
  </si>
  <si>
    <t>mass;V_burnout;V(height)</t>
  </si>
  <si>
    <t>Non rotating Spherical;elips;polar;law of conserv</t>
  </si>
  <si>
    <t>T_constant;EOM vertical derive</t>
  </si>
  <si>
    <t>Re-entry/ballistic flight;velocity;fligth path gamma</t>
  </si>
  <si>
    <t>Inertial; Reference frame;Orbital period</t>
  </si>
  <si>
    <t>Mass;V(heights)</t>
  </si>
  <si>
    <t>Multistage;mass;v;lambda;diameter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</si>
</sst>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6D5BCEED-35D8-46DC-9C82-7E586F292D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F8" sqref="F8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66</v>
      </c>
      <c r="B1" t="s">
        <v>68</v>
      </c>
      <c r="C1" t="s">
        <v>67</v>
      </c>
    </row>
    <row r="2" spans="1:3" x14ac:dyDescent="0.25">
      <c r="C2" t="s">
        <v>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3"/>
  <sheetViews>
    <sheetView tabSelected="1" workbookViewId="0">
      <selection activeCell="A3" sqref="A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5</v>
      </c>
      <c r="D2">
        <v>1</v>
      </c>
      <c r="E2" s="2" t="s">
        <v>46</v>
      </c>
    </row>
    <row r="3" spans="1:5" x14ac:dyDescent="0.25">
      <c r="A3">
        <v>1</v>
      </c>
      <c r="B3">
        <v>1</v>
      </c>
      <c r="C3" t="s">
        <v>6</v>
      </c>
      <c r="D3">
        <v>2</v>
      </c>
      <c r="E3" s="2" t="s">
        <v>47</v>
      </c>
    </row>
    <row r="4" spans="1:5" x14ac:dyDescent="0.25">
      <c r="A4">
        <v>1</v>
      </c>
      <c r="B4">
        <v>2</v>
      </c>
      <c r="C4" t="s">
        <v>6</v>
      </c>
      <c r="D4">
        <v>3</v>
      </c>
      <c r="E4" s="2" t="s">
        <v>48</v>
      </c>
    </row>
    <row r="5" spans="1:5" x14ac:dyDescent="0.25">
      <c r="A5">
        <v>1</v>
      </c>
      <c r="B5">
        <v>2</v>
      </c>
      <c r="C5" t="s">
        <v>6</v>
      </c>
      <c r="D5">
        <v>4</v>
      </c>
      <c r="E5" s="2" t="s">
        <v>49</v>
      </c>
    </row>
    <row r="6" spans="1:5" x14ac:dyDescent="0.25">
      <c r="A6">
        <v>1</v>
      </c>
      <c r="B6">
        <v>3</v>
      </c>
      <c r="C6" t="s">
        <v>7</v>
      </c>
      <c r="D6">
        <v>5</v>
      </c>
      <c r="E6" s="2" t="s">
        <v>50</v>
      </c>
    </row>
    <row r="7" spans="1:5" x14ac:dyDescent="0.25">
      <c r="A7">
        <v>1</v>
      </c>
      <c r="B7">
        <v>3</v>
      </c>
      <c r="C7" t="s">
        <v>7</v>
      </c>
      <c r="D7">
        <v>6</v>
      </c>
      <c r="E7" s="2" t="s">
        <v>51</v>
      </c>
    </row>
    <row r="8" spans="1:5" x14ac:dyDescent="0.25">
      <c r="A8">
        <v>1</v>
      </c>
      <c r="B8">
        <v>5</v>
      </c>
      <c r="C8" t="s">
        <v>8</v>
      </c>
      <c r="D8">
        <v>7</v>
      </c>
      <c r="E8" s="2" t="s">
        <v>52</v>
      </c>
    </row>
    <row r="9" spans="1:5" x14ac:dyDescent="0.25">
      <c r="A9">
        <v>1</v>
      </c>
      <c r="B9">
        <v>5</v>
      </c>
      <c r="C9" t="s">
        <v>8</v>
      </c>
      <c r="D9">
        <v>8</v>
      </c>
      <c r="E9" s="2" t="s">
        <v>53</v>
      </c>
    </row>
    <row r="10" spans="1:5" x14ac:dyDescent="0.25">
      <c r="A10">
        <v>1</v>
      </c>
      <c r="B10">
        <v>6</v>
      </c>
      <c r="C10" t="s">
        <v>8</v>
      </c>
      <c r="D10">
        <v>9</v>
      </c>
      <c r="E10" s="2" t="s">
        <v>54</v>
      </c>
    </row>
    <row r="11" spans="1:5" x14ac:dyDescent="0.25">
      <c r="A11">
        <v>1</v>
      </c>
      <c r="B11">
        <v>6</v>
      </c>
      <c r="C11" t="s">
        <v>9</v>
      </c>
      <c r="D11">
        <v>10</v>
      </c>
      <c r="E11" s="2" t="s">
        <v>55</v>
      </c>
    </row>
    <row r="12" spans="1:5" x14ac:dyDescent="0.25">
      <c r="A12">
        <v>1</v>
      </c>
      <c r="B12">
        <v>7</v>
      </c>
      <c r="C12" t="s">
        <v>10</v>
      </c>
      <c r="D12">
        <v>11</v>
      </c>
      <c r="E12" s="2" t="s">
        <v>56</v>
      </c>
    </row>
    <row r="13" spans="1:5" x14ac:dyDescent="0.25">
      <c r="A13">
        <v>1</v>
      </c>
      <c r="B13">
        <v>7</v>
      </c>
      <c r="C13" t="s">
        <v>11</v>
      </c>
      <c r="D13">
        <v>12</v>
      </c>
      <c r="E13" s="2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2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2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2" t="s">
        <v>24</v>
      </c>
      <c r="G3" t="s">
        <v>26</v>
      </c>
      <c r="H3">
        <v>5</v>
      </c>
      <c r="I3" t="s">
        <v>27</v>
      </c>
    </row>
  </sheetData>
  <autoFilter ref="A1:I3" xr:uid="{6423DA94-9066-4E0C-B5C4-DD9BA88B519A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workbookViewId="0">
      <selection activeCell="B2" sqref="B2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0" x14ac:dyDescent="0.25">
      <c r="A1" t="s">
        <v>35</v>
      </c>
      <c r="B1" t="s">
        <v>30</v>
      </c>
      <c r="C1" t="s">
        <v>15</v>
      </c>
      <c r="D1" s="2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t="s">
        <v>20</v>
      </c>
    </row>
    <row r="2" spans="1:10" x14ac:dyDescent="0.25">
      <c r="A2" t="s">
        <v>36</v>
      </c>
      <c r="B2" t="s">
        <v>36</v>
      </c>
      <c r="C2">
        <v>1</v>
      </c>
      <c r="D2" s="2" t="s">
        <v>58</v>
      </c>
      <c r="E2">
        <v>4</v>
      </c>
      <c r="F2">
        <v>1</v>
      </c>
      <c r="G2">
        <v>10</v>
      </c>
      <c r="H2" t="s">
        <v>40</v>
      </c>
      <c r="I2" t="s">
        <v>5</v>
      </c>
      <c r="J2" s="1" t="str">
        <f>VLOOKUP(I2,Lectures!C$1:E1000,3,FALSE)</f>
        <v>2019-09-03</v>
      </c>
    </row>
    <row r="3" spans="1:10" x14ac:dyDescent="0.25">
      <c r="A3" t="s">
        <v>37</v>
      </c>
      <c r="B3" t="s">
        <v>36</v>
      </c>
      <c r="C3">
        <v>1</v>
      </c>
      <c r="D3" s="2" t="s">
        <v>58</v>
      </c>
      <c r="E3">
        <v>4</v>
      </c>
      <c r="F3">
        <v>2</v>
      </c>
      <c r="G3">
        <v>30</v>
      </c>
      <c r="H3" t="s">
        <v>70</v>
      </c>
      <c r="I3" t="s">
        <v>7</v>
      </c>
      <c r="J3" s="1" t="str">
        <f>VLOOKUP(I3,Lectures!C$1:E1001,3,FALSE)</f>
        <v>2019-09-17</v>
      </c>
    </row>
    <row r="4" spans="1:10" x14ac:dyDescent="0.25">
      <c r="A4" t="s">
        <v>38</v>
      </c>
      <c r="B4" t="s">
        <v>36</v>
      </c>
      <c r="C4">
        <v>1</v>
      </c>
      <c r="D4" s="2" t="s">
        <v>58</v>
      </c>
      <c r="E4">
        <v>4</v>
      </c>
      <c r="F4">
        <v>3</v>
      </c>
      <c r="G4">
        <v>30</v>
      </c>
      <c r="H4" t="s">
        <v>41</v>
      </c>
      <c r="I4" t="s">
        <v>8</v>
      </c>
      <c r="J4" s="1" t="str">
        <f>VLOOKUP(I4,Lectures!C$1:E1002,3,FALSE)</f>
        <v>2019-10-01</v>
      </c>
    </row>
    <row r="5" spans="1:10" x14ac:dyDescent="0.25">
      <c r="A5" t="s">
        <v>39</v>
      </c>
      <c r="B5" t="s">
        <v>36</v>
      </c>
      <c r="C5">
        <v>1</v>
      </c>
      <c r="D5" s="2" t="s">
        <v>58</v>
      </c>
      <c r="E5">
        <v>4</v>
      </c>
      <c r="F5">
        <v>4</v>
      </c>
      <c r="G5">
        <v>30</v>
      </c>
      <c r="H5" t="s">
        <v>71</v>
      </c>
      <c r="I5" t="s">
        <v>6</v>
      </c>
      <c r="J5" s="1" t="str">
        <f>VLOOKUP(I5,Lectures!C$1:E1003,3,FALSE)</f>
        <v>2019-09-05</v>
      </c>
    </row>
    <row r="6" spans="1:10" x14ac:dyDescent="0.25">
      <c r="B6" t="s">
        <v>36</v>
      </c>
      <c r="C6">
        <v>2</v>
      </c>
      <c r="D6" s="2" t="s">
        <v>59</v>
      </c>
      <c r="E6">
        <v>4</v>
      </c>
      <c r="F6">
        <v>1</v>
      </c>
      <c r="G6">
        <v>10</v>
      </c>
      <c r="H6" t="s">
        <v>40</v>
      </c>
      <c r="I6" t="s">
        <v>5</v>
      </c>
      <c r="J6" s="1" t="str">
        <f>VLOOKUP(I6,Lectures!C$1:E1004,3,FALSE)</f>
        <v>2019-09-03</v>
      </c>
    </row>
    <row r="7" spans="1:10" x14ac:dyDescent="0.25">
      <c r="B7" t="s">
        <v>36</v>
      </c>
      <c r="C7">
        <v>2</v>
      </c>
      <c r="D7" s="2" t="s">
        <v>59</v>
      </c>
      <c r="E7">
        <v>4</v>
      </c>
      <c r="F7">
        <v>2</v>
      </c>
      <c r="G7">
        <v>30</v>
      </c>
      <c r="H7" t="s">
        <v>72</v>
      </c>
      <c r="I7" t="s">
        <v>7</v>
      </c>
      <c r="J7" s="1" t="str">
        <f>VLOOKUP(I7,Lectures!C$1:E1005,3,FALSE)</f>
        <v>2019-09-17</v>
      </c>
    </row>
    <row r="8" spans="1:10" x14ac:dyDescent="0.25">
      <c r="B8" t="s">
        <v>36</v>
      </c>
      <c r="C8">
        <v>2</v>
      </c>
      <c r="D8" s="2" t="s">
        <v>59</v>
      </c>
      <c r="E8">
        <v>4</v>
      </c>
      <c r="F8">
        <v>3</v>
      </c>
      <c r="G8">
        <v>30</v>
      </c>
      <c r="H8" t="s">
        <v>73</v>
      </c>
      <c r="I8" t="s">
        <v>10</v>
      </c>
      <c r="J8" s="1" t="str">
        <f>VLOOKUP(I8,Lectures!C$1:E1006,3,FALSE)</f>
        <v>2019-10-15</v>
      </c>
    </row>
    <row r="9" spans="1:10" x14ac:dyDescent="0.25">
      <c r="B9" t="s">
        <v>36</v>
      </c>
      <c r="C9">
        <v>2</v>
      </c>
      <c r="D9" s="2" t="s">
        <v>59</v>
      </c>
      <c r="E9">
        <v>4</v>
      </c>
      <c r="F9">
        <v>4</v>
      </c>
      <c r="G9">
        <v>30</v>
      </c>
      <c r="H9" t="s">
        <v>74</v>
      </c>
      <c r="I9" t="s">
        <v>8</v>
      </c>
      <c r="J9" s="1" t="str">
        <f>VLOOKUP(I9,Lectures!C$1:E1007,3,FALSE)</f>
        <v>2019-10-01</v>
      </c>
    </row>
    <row r="10" spans="1:10" x14ac:dyDescent="0.25">
      <c r="B10" t="s">
        <v>36</v>
      </c>
      <c r="C10">
        <v>3</v>
      </c>
      <c r="D10" s="2" t="s">
        <v>42</v>
      </c>
      <c r="E10">
        <v>6</v>
      </c>
      <c r="F10">
        <v>1</v>
      </c>
      <c r="G10">
        <v>15</v>
      </c>
      <c r="H10" t="s">
        <v>75</v>
      </c>
      <c r="I10" t="s">
        <v>6</v>
      </c>
      <c r="J10" s="1" t="str">
        <f>VLOOKUP(I10,Lectures!C$1:E1008,3,FALSE)</f>
        <v>2019-09-05</v>
      </c>
    </row>
    <row r="11" spans="1:10" x14ac:dyDescent="0.25">
      <c r="B11" t="s">
        <v>36</v>
      </c>
      <c r="C11">
        <v>3</v>
      </c>
      <c r="D11" s="2" t="s">
        <v>42</v>
      </c>
      <c r="E11">
        <v>6</v>
      </c>
      <c r="F11">
        <v>2</v>
      </c>
      <c r="G11">
        <v>15</v>
      </c>
      <c r="H11" t="s">
        <v>76</v>
      </c>
      <c r="I11" t="s">
        <v>8</v>
      </c>
      <c r="J11" s="1" t="str">
        <f>VLOOKUP(I11,Lectures!C$1:E1009,3,FALSE)</f>
        <v>2019-10-01</v>
      </c>
    </row>
    <row r="12" spans="1:10" x14ac:dyDescent="0.25">
      <c r="B12" t="s">
        <v>36</v>
      </c>
      <c r="C12">
        <v>3</v>
      </c>
      <c r="D12" s="2" t="s">
        <v>42</v>
      </c>
      <c r="E12">
        <v>6</v>
      </c>
      <c r="F12">
        <v>3</v>
      </c>
      <c r="G12">
        <v>15</v>
      </c>
      <c r="H12" t="s">
        <v>77</v>
      </c>
      <c r="I12" t="s">
        <v>7</v>
      </c>
      <c r="J12" s="1" t="str">
        <f>VLOOKUP(I12,Lectures!C$1:E1010,3,FALSE)</f>
        <v>2019-09-17</v>
      </c>
    </row>
    <row r="13" spans="1:10" x14ac:dyDescent="0.25">
      <c r="B13" t="s">
        <v>36</v>
      </c>
      <c r="C13">
        <v>3</v>
      </c>
      <c r="D13" s="2" t="s">
        <v>42</v>
      </c>
      <c r="E13">
        <v>6</v>
      </c>
      <c r="F13">
        <v>4</v>
      </c>
      <c r="G13">
        <v>15</v>
      </c>
      <c r="H13" t="s">
        <v>78</v>
      </c>
      <c r="I13" t="s">
        <v>10</v>
      </c>
      <c r="J13" s="1" t="str">
        <f>VLOOKUP(I13,Lectures!C$1:E1011,3,FALSE)</f>
        <v>2019-10-15</v>
      </c>
    </row>
    <row r="14" spans="1:10" x14ac:dyDescent="0.25">
      <c r="B14" t="s">
        <v>36</v>
      </c>
      <c r="C14">
        <v>3</v>
      </c>
      <c r="D14" s="2" t="s">
        <v>42</v>
      </c>
      <c r="E14">
        <v>6</v>
      </c>
      <c r="F14">
        <v>5</v>
      </c>
      <c r="G14">
        <v>15</v>
      </c>
      <c r="H14" t="s">
        <v>79</v>
      </c>
      <c r="I14" t="s">
        <v>6</v>
      </c>
      <c r="J14" s="1" t="str">
        <f>VLOOKUP(I14,Lectures!C$1:E1012,3,FALSE)</f>
        <v>2019-09-05</v>
      </c>
    </row>
    <row r="15" spans="1:10" x14ac:dyDescent="0.25">
      <c r="B15" t="s">
        <v>36</v>
      </c>
      <c r="C15">
        <v>3</v>
      </c>
      <c r="D15" s="2" t="s">
        <v>42</v>
      </c>
      <c r="E15">
        <v>6</v>
      </c>
      <c r="F15">
        <v>6</v>
      </c>
      <c r="G15">
        <v>15</v>
      </c>
      <c r="H15" t="s">
        <v>80</v>
      </c>
      <c r="I15" t="s">
        <v>7</v>
      </c>
      <c r="J15" s="1" t="str">
        <f>VLOOKUP(I15,Lectures!C$1:E1013,3,FALSE)</f>
        <v>2019-09-17</v>
      </c>
    </row>
    <row r="16" spans="1:10" x14ac:dyDescent="0.25">
      <c r="B16" t="s">
        <v>37</v>
      </c>
      <c r="C16">
        <v>4</v>
      </c>
      <c r="D16" s="2" t="s">
        <v>60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1" t="str">
        <f>VLOOKUP(I16,Lectures!C$1:E1014,3,FALSE)</f>
        <v>2019-09-03</v>
      </c>
    </row>
    <row r="17" spans="2:10" x14ac:dyDescent="0.25">
      <c r="B17" t="s">
        <v>37</v>
      </c>
      <c r="C17">
        <v>4</v>
      </c>
      <c r="D17" s="2" t="s">
        <v>60</v>
      </c>
      <c r="E17">
        <v>4</v>
      </c>
      <c r="F17">
        <v>2</v>
      </c>
      <c r="G17">
        <v>30</v>
      </c>
      <c r="H17" t="s">
        <v>80</v>
      </c>
      <c r="I17" t="s">
        <v>7</v>
      </c>
      <c r="J17" s="1" t="str">
        <f>VLOOKUP(I17,Lectures!C$1:E1015,3,FALSE)</f>
        <v>2019-09-17</v>
      </c>
    </row>
    <row r="18" spans="2:10" x14ac:dyDescent="0.25">
      <c r="B18" t="s">
        <v>37</v>
      </c>
      <c r="C18">
        <v>4</v>
      </c>
      <c r="D18" s="2" t="s">
        <v>60</v>
      </c>
      <c r="E18">
        <v>4</v>
      </c>
      <c r="F18">
        <v>3</v>
      </c>
      <c r="G18">
        <v>30</v>
      </c>
      <c r="H18" t="s">
        <v>81</v>
      </c>
      <c r="I18" t="s">
        <v>7</v>
      </c>
      <c r="J18" s="1" t="str">
        <f>VLOOKUP(I18,Lectures!C$1:E1016,3,FALSE)</f>
        <v>2019-09-17</v>
      </c>
    </row>
    <row r="19" spans="2:10" x14ac:dyDescent="0.25">
      <c r="B19" t="s">
        <v>37</v>
      </c>
      <c r="C19">
        <v>4</v>
      </c>
      <c r="D19" s="2" t="s">
        <v>60</v>
      </c>
      <c r="E19">
        <v>4</v>
      </c>
      <c r="F19">
        <v>4</v>
      </c>
      <c r="G19">
        <v>30</v>
      </c>
      <c r="H19" t="s">
        <v>82</v>
      </c>
      <c r="I19" t="s">
        <v>8</v>
      </c>
      <c r="J19" s="1" t="str">
        <f>VLOOKUP(I19,Lectures!C$1:E1017,3,FALSE)</f>
        <v>2019-10-01</v>
      </c>
    </row>
    <row r="20" spans="2:10" x14ac:dyDescent="0.25">
      <c r="B20" t="s">
        <v>37</v>
      </c>
      <c r="C20">
        <v>4</v>
      </c>
      <c r="D20" s="2" t="s">
        <v>61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1" t="str">
        <f>VLOOKUP(I20,Lectures!C$1:E1018,3,FALSE)</f>
        <v>2019-09-03</v>
      </c>
    </row>
    <row r="21" spans="2:10" x14ac:dyDescent="0.25">
      <c r="B21" t="s">
        <v>37</v>
      </c>
      <c r="C21">
        <v>4</v>
      </c>
      <c r="D21" s="2" t="s">
        <v>61</v>
      </c>
      <c r="E21">
        <v>4</v>
      </c>
      <c r="F21">
        <v>2</v>
      </c>
      <c r="G21">
        <v>30</v>
      </c>
      <c r="H21" t="s">
        <v>83</v>
      </c>
      <c r="I21" t="s">
        <v>6</v>
      </c>
      <c r="J21" s="1" t="str">
        <f>VLOOKUP(I21,Lectures!C$1:E1019,3,FALSE)</f>
        <v>2019-09-05</v>
      </c>
    </row>
    <row r="22" spans="2:10" x14ac:dyDescent="0.25">
      <c r="B22" t="s">
        <v>37</v>
      </c>
      <c r="C22">
        <v>4</v>
      </c>
      <c r="D22" s="2" t="s">
        <v>61</v>
      </c>
      <c r="E22">
        <v>4</v>
      </c>
      <c r="F22">
        <v>3</v>
      </c>
      <c r="G22">
        <v>30</v>
      </c>
      <c r="H22" t="s">
        <v>84</v>
      </c>
      <c r="I22" t="s">
        <v>8</v>
      </c>
      <c r="J22" s="1" t="str">
        <f>VLOOKUP(I22,Lectures!C$1:E1020,3,FALSE)</f>
        <v>2019-10-01</v>
      </c>
    </row>
    <row r="23" spans="2:10" x14ac:dyDescent="0.25">
      <c r="B23" t="s">
        <v>37</v>
      </c>
      <c r="C23">
        <v>4</v>
      </c>
      <c r="D23" s="2" t="s">
        <v>61</v>
      </c>
      <c r="E23">
        <v>4</v>
      </c>
      <c r="F23">
        <v>4</v>
      </c>
      <c r="G23">
        <v>30</v>
      </c>
      <c r="H23" t="s">
        <v>85</v>
      </c>
      <c r="I23" t="s">
        <v>6</v>
      </c>
      <c r="J23" s="1" t="str">
        <f>VLOOKUP(I23,Lectures!C$1:E1021,3,FALSE)</f>
        <v>2019-09-05</v>
      </c>
    </row>
    <row r="24" spans="2:10" x14ac:dyDescent="0.25">
      <c r="B24" t="s">
        <v>38</v>
      </c>
      <c r="C24">
        <v>5</v>
      </c>
      <c r="D24" s="2" t="s">
        <v>62</v>
      </c>
      <c r="E24">
        <v>2</v>
      </c>
      <c r="F24">
        <v>1</v>
      </c>
      <c r="G24">
        <v>50</v>
      </c>
      <c r="H24" t="s">
        <v>86</v>
      </c>
      <c r="I24" t="s">
        <v>8</v>
      </c>
      <c r="J24" s="1" t="str">
        <f>VLOOKUP(I24,Lectures!C$1:E1022,3,FALSE)</f>
        <v>2019-10-01</v>
      </c>
    </row>
    <row r="25" spans="2:10" x14ac:dyDescent="0.25">
      <c r="B25" t="s">
        <v>38</v>
      </c>
      <c r="C25">
        <v>5</v>
      </c>
      <c r="D25" s="2" t="s">
        <v>62</v>
      </c>
      <c r="E25">
        <v>2</v>
      </c>
      <c r="F25">
        <v>2</v>
      </c>
      <c r="G25">
        <v>50</v>
      </c>
      <c r="H25" t="s">
        <v>87</v>
      </c>
      <c r="I25" t="s">
        <v>8</v>
      </c>
      <c r="J25" s="1" t="str">
        <f>VLOOKUP(I25,Lectures!C$1:E1023,3,FALSE)</f>
        <v>2019-10-01</v>
      </c>
    </row>
    <row r="26" spans="2:10" x14ac:dyDescent="0.25">
      <c r="B26" t="s">
        <v>38</v>
      </c>
      <c r="C26">
        <v>6</v>
      </c>
      <c r="D26" s="2" t="s">
        <v>63</v>
      </c>
      <c r="E26">
        <v>2</v>
      </c>
      <c r="F26">
        <v>1</v>
      </c>
      <c r="G26">
        <v>50</v>
      </c>
      <c r="H26" t="s">
        <v>88</v>
      </c>
      <c r="I26" t="s">
        <v>6</v>
      </c>
      <c r="J26" s="1" t="str">
        <f>VLOOKUP(I26,Lectures!C$1:E1024,3,FALSE)</f>
        <v>2019-09-05</v>
      </c>
    </row>
    <row r="27" spans="2:10" x14ac:dyDescent="0.25">
      <c r="B27" t="s">
        <v>38</v>
      </c>
      <c r="C27">
        <v>6</v>
      </c>
      <c r="D27" s="2" t="s">
        <v>63</v>
      </c>
      <c r="E27">
        <v>2</v>
      </c>
      <c r="F27">
        <v>2</v>
      </c>
      <c r="G27">
        <v>50</v>
      </c>
      <c r="H27" t="s">
        <v>43</v>
      </c>
      <c r="I27" t="s">
        <v>8</v>
      </c>
      <c r="J27" s="1" t="str">
        <f>VLOOKUP(I27,Lectures!C$1:E1025,3,FALSE)</f>
        <v>2019-10-01</v>
      </c>
    </row>
    <row r="28" spans="2:10" x14ac:dyDescent="0.25">
      <c r="B28" t="s">
        <v>38</v>
      </c>
      <c r="C28">
        <v>7</v>
      </c>
      <c r="D28" s="2" t="s">
        <v>64</v>
      </c>
      <c r="E28">
        <v>2</v>
      </c>
      <c r="F28">
        <v>1</v>
      </c>
      <c r="G28">
        <v>50</v>
      </c>
      <c r="H28" t="s">
        <v>44</v>
      </c>
      <c r="I28" t="s">
        <v>8</v>
      </c>
      <c r="J28" s="1" t="str">
        <f>VLOOKUP(I28,Lectures!C$1:E1026,3,FALSE)</f>
        <v>2019-10-01</v>
      </c>
    </row>
    <row r="29" spans="2:10" x14ac:dyDescent="0.25">
      <c r="B29" t="s">
        <v>38</v>
      </c>
      <c r="C29">
        <v>7</v>
      </c>
      <c r="D29" s="2" t="s">
        <v>64</v>
      </c>
      <c r="E29">
        <v>2</v>
      </c>
      <c r="F29">
        <v>2</v>
      </c>
      <c r="G29">
        <v>50</v>
      </c>
      <c r="H29" t="s">
        <v>89</v>
      </c>
      <c r="I29" t="s">
        <v>7</v>
      </c>
      <c r="J29" s="1" t="str">
        <f>VLOOKUP(I29,Lectures!C$1:E1027,3,FALSE)</f>
        <v>2019-09-17</v>
      </c>
    </row>
    <row r="30" spans="2:10" x14ac:dyDescent="0.25">
      <c r="J30" s="1" t="e">
        <f>VLOOKUP(I30,Lectures!C$1:E1028,3,FALSE)</f>
        <v>#N/A</v>
      </c>
    </row>
    <row r="31" spans="2:10" x14ac:dyDescent="0.25">
      <c r="J31" s="1" t="e">
        <f>VLOOKUP(I31,Lectures!C$1:E1029,3,FALSE)</f>
        <v>#N/A</v>
      </c>
    </row>
    <row r="32" spans="2:10" x14ac:dyDescent="0.25">
      <c r="J32" s="1" t="e">
        <f>VLOOKUP(I32,Lectures!C$1:E1030,3,FALSE)</f>
        <v>#N/A</v>
      </c>
    </row>
    <row r="33" spans="10:10" x14ac:dyDescent="0.25">
      <c r="J33" s="1" t="e">
        <f>VLOOKUP(I33,Lectures!C$1:E1031,3,FALSE)</f>
        <v>#N/A</v>
      </c>
    </row>
    <row r="34" spans="10:10" x14ac:dyDescent="0.25">
      <c r="J34" s="1" t="e">
        <f>VLOOKUP(I34,Lectures!C$1:E1032,3,FALSE)</f>
        <v>#N/A</v>
      </c>
    </row>
    <row r="35" spans="10:10" x14ac:dyDescent="0.25">
      <c r="J35" s="1" t="e">
        <f>VLOOKUP(I35,Lectures!C$1:E1033,3,FALSE)</f>
        <v>#N/A</v>
      </c>
    </row>
    <row r="36" spans="10:10" x14ac:dyDescent="0.25">
      <c r="J36" s="1" t="e">
        <f>VLOOKUP(I36,Lectures!C$1:E1034,3,FALSE)</f>
        <v>#N/A</v>
      </c>
    </row>
    <row r="37" spans="10:10" x14ac:dyDescent="0.25">
      <c r="J37" s="1" t="e">
        <f>VLOOKUP(I37,Lectures!C$1:E1035,3,FALSE)</f>
        <v>#N/A</v>
      </c>
    </row>
    <row r="38" spans="10:10" x14ac:dyDescent="0.25">
      <c r="J38" s="1" t="e">
        <f>VLOOKUP(I38,Lectures!C$1:E1036,3,FALSE)</f>
        <v>#N/A</v>
      </c>
    </row>
    <row r="39" spans="10:10" x14ac:dyDescent="0.25">
      <c r="J39" s="1" t="e">
        <f>VLOOKUP(I39,Lectures!C$1:E1037,3,FALSE)</f>
        <v>#N/A</v>
      </c>
    </row>
    <row r="40" spans="10:10" x14ac:dyDescent="0.25">
      <c r="J40" s="1" t="e">
        <f>VLOOKUP(I40,Lectures!C$1:E1038,3,FALSE)</f>
        <v>#N/A</v>
      </c>
    </row>
    <row r="41" spans="10:10" x14ac:dyDescent="0.25">
      <c r="J41" s="1" t="e">
        <f>VLOOKUP(I41,Lectures!C$1:E1039,3,FALSE)</f>
        <v>#N/A</v>
      </c>
    </row>
    <row r="42" spans="10:10" x14ac:dyDescent="0.25">
      <c r="J42" s="1" t="e">
        <f>VLOOKUP(I42,Lectures!C$1:E1040,3,FALSE)</f>
        <v>#N/A</v>
      </c>
    </row>
    <row r="43" spans="10:10" x14ac:dyDescent="0.25">
      <c r="J43" s="1" t="e">
        <f>VLOOKUP(I43,Lectures!C$1:E1041,3,FALSE)</f>
        <v>#N/A</v>
      </c>
    </row>
    <row r="44" spans="10:10" x14ac:dyDescent="0.25">
      <c r="J44" s="1" t="e">
        <f>VLOOKUP(I44,Lectures!C$1:E1042,3,FALSE)</f>
        <v>#N/A</v>
      </c>
    </row>
    <row r="45" spans="10:10" x14ac:dyDescent="0.25">
      <c r="J45" s="1" t="e">
        <f>VLOOKUP(I45,Lectures!C$1:E1043,3,FALSE)</f>
        <v>#N/A</v>
      </c>
    </row>
    <row r="46" spans="10:10" x14ac:dyDescent="0.25">
      <c r="J46" s="1" t="e">
        <f>VLOOKUP(I46,Lectures!C$1:E1044,3,FALSE)</f>
        <v>#N/A</v>
      </c>
    </row>
    <row r="47" spans="10:10" x14ac:dyDescent="0.25">
      <c r="J47" s="1" t="e">
        <f>VLOOKUP(I47,Lectures!C$1:E1045,3,FALSE)</f>
        <v>#N/A</v>
      </c>
    </row>
    <row r="48" spans="10:10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45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45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B3" sqref="B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12</v>
      </c>
      <c r="C1" t="s">
        <v>13</v>
      </c>
      <c r="D1" t="s">
        <v>14</v>
      </c>
    </row>
    <row r="2" spans="1:4" x14ac:dyDescent="0.25">
      <c r="A2" s="2" t="s">
        <v>65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2019-09-17T12:24:54Z</dcterms:modified>
</cp:coreProperties>
</file>